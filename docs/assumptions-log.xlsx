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dev\butcher-price-calculator\docs\"/>
    </mc:Choice>
  </mc:AlternateContent>
  <xr:revisionPtr revIDLastSave="0" documentId="13_ncr:1_{3BAD60E2-F97E-4D9C-9878-6E8EA826D74D}" xr6:coauthVersionLast="47" xr6:coauthVersionMax="47" xr10:uidLastSave="{00000000-0000-0000-0000-000000000000}"/>
  <bookViews>
    <workbookView xWindow="28680" yWindow="-120" windowWidth="29040" windowHeight="15720" tabRatio="500" activeTab="2" xr2:uid="{00000000-000D-0000-FFFF-FFFF00000000}"/>
  </bookViews>
  <sheets>
    <sheet name="How to use" sheetId="1" r:id="rId1"/>
    <sheet name="Assumptions" sheetId="2" r:id="rId2"/>
    <sheet name="Interview notes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37" i="2" l="1"/>
  <c r="A37" i="2"/>
  <c r="G36" i="2"/>
  <c r="A36" i="2"/>
  <c r="G35" i="2"/>
  <c r="A35" i="2"/>
  <c r="G34" i="2"/>
  <c r="A34" i="2"/>
  <c r="G33" i="2"/>
  <c r="A33" i="2"/>
  <c r="G32" i="2"/>
  <c r="A32" i="2"/>
  <c r="G31" i="2"/>
  <c r="A31" i="2"/>
  <c r="G30" i="2"/>
  <c r="A30" i="2"/>
  <c r="G29" i="2"/>
  <c r="A29" i="2"/>
  <c r="G28" i="2"/>
  <c r="A28" i="2"/>
  <c r="G27" i="2"/>
  <c r="A27" i="2"/>
  <c r="G26" i="2"/>
  <c r="A26" i="2"/>
  <c r="G25" i="2"/>
  <c r="A25" i="2"/>
  <c r="G24" i="2"/>
  <c r="A24" i="2"/>
  <c r="G23" i="2"/>
  <c r="A23" i="2"/>
  <c r="G22" i="2"/>
  <c r="A22" i="2"/>
  <c r="G21" i="2"/>
  <c r="A21" i="2"/>
  <c r="G20" i="2"/>
  <c r="A20" i="2"/>
  <c r="G19" i="2"/>
  <c r="A19" i="2"/>
  <c r="G18" i="2"/>
  <c r="A18" i="2"/>
  <c r="G17" i="2"/>
  <c r="A17" i="2"/>
  <c r="G16" i="2"/>
  <c r="A16" i="2"/>
  <c r="G15" i="2"/>
  <c r="A15" i="2"/>
  <c r="G14" i="2"/>
  <c r="A14" i="2"/>
  <c r="G13" i="2"/>
  <c r="A13" i="2"/>
  <c r="G12" i="2"/>
  <c r="A12" i="2"/>
  <c r="G11" i="2"/>
  <c r="A11" i="2"/>
  <c r="G10" i="2"/>
  <c r="A10" i="2"/>
  <c r="G9" i="2"/>
  <c r="A9" i="2"/>
  <c r="G8" i="2"/>
  <c r="A8" i="2"/>
  <c r="C5" i="2"/>
  <c r="C4" i="2"/>
  <c r="C3" i="2"/>
</calcChain>
</file>

<file path=xl/sharedStrings.xml><?xml version="1.0" encoding="utf-8"?>
<sst xmlns="http://schemas.openxmlformats.org/spreadsheetml/2006/main" count="120" uniqueCount="107">
  <si>
    <t>Assumptions log and interview notes - Butcher price app</t>
  </si>
  <si>
    <t>What this file is for</t>
  </si>
  <si>
    <t>An assumption is something you believe about the butcher's work but have not confirmed. Writing them down, then checking them, is how you avoid building the wrong thing.</t>
  </si>
  <si>
    <t>How to use it (4 steps)</t>
  </si>
  <si>
    <t>1. Go to the 'Interview notes' sheet. Fill the yellow date and role cells. During the call, type what the butcher says in the 'His words' column.</t>
  </si>
  <si>
    <t>2. After the call, write what it means in the 'My notes' column.</t>
  </si>
  <si>
    <t>3. Go to the 'Assumptions' sheet. For each row, type the evidence in the yellow Evidence column and pick Verified or Guess in the Status dropdown.</t>
  </si>
  <si>
    <t>4. Look at the Check column. 'Add evidence' means you marked Verified but wrote no evidence. Fix it until every row says OK.</t>
  </si>
  <si>
    <t>Legend</t>
  </si>
  <si>
    <t>Yellow cell = you fill it in.   Green = Verified.   Amber = Guess.   Red = needs fixing.</t>
  </si>
  <si>
    <t>Verified = the butcher told you, or you saw it yourself. Everything else = Guess.</t>
  </si>
  <si>
    <t>Rows A1-A3 come from our earlier work. Rows A4-A11 are my starter guesses, NOT facts. Change, delete or add rows freely (up to 30).</t>
  </si>
  <si>
    <t>Note: the three required assignment documents (App Roles, Jobs To Be Done, User Stories) stay in Markdown, Word or PDF. This Excel file is your working tool; you can print it to PDF if you want to include it.</t>
  </si>
  <si>
    <t>Assumptions log</t>
  </si>
  <si>
    <t>Yellow cells are yours. Status: Verified = told or seen by you; Guess = anything else.</t>
  </si>
  <si>
    <t>Verified</t>
  </si>
  <si>
    <t>Guess</t>
  </si>
  <si>
    <t>Need evidence or status</t>
  </si>
  <si>
    <t>ID</t>
  </si>
  <si>
    <t>Assumption</t>
  </si>
  <si>
    <t>Evidence (who said it / what you saw)</t>
  </si>
  <si>
    <t>Status</t>
  </si>
  <si>
    <t>If it's wrong</t>
  </si>
  <si>
    <t>How to check</t>
  </si>
  <si>
    <t>Check</t>
  </si>
  <si>
    <t>The cut factors (1.49, 1.95, 2.1) rarely change</t>
  </si>
  <si>
    <t>Butcher said so on the first call (one person, one call)</t>
  </si>
  <si>
    <t>Editing the factors becomes a must-have</t>
  </si>
  <si>
    <t>Ask Q4</t>
  </si>
  <si>
    <t>He uses the 30-day trend to plan buying</t>
  </si>
  <si>
    <t>The trend screen has little value</t>
  </si>
  <si>
    <t>Ask Q6</t>
  </si>
  <si>
    <t>Customers learn the price by asking at the counter</t>
  </si>
  <si>
    <t>Told by you (Ehtesham)</t>
  </si>
  <si>
    <t>A customer-facing display might be needed</t>
  </si>
  <si>
    <t>Ask 1-2 customers</t>
  </si>
  <si>
    <t>He enters the rate once a day in the morning</t>
  </si>
  <si>
    <t>The reminder timing is wrong</t>
  </si>
  <si>
    <t>Ask Q1</t>
  </si>
  <si>
    <t>Only the butcher enters the rate, not his helper</t>
  </si>
  <si>
    <t>Helper needs the PIN or a second role</t>
  </si>
  <si>
    <t>Ask Q5</t>
  </si>
  <si>
    <t>The counter device is a shared phone or computer with a browser</t>
  </si>
  <si>
    <t>A web app may not suit the device</t>
  </si>
  <si>
    <t>Ask Q8</t>
  </si>
  <si>
    <t>English labels are fine for him</t>
  </si>
  <si>
    <t>Urdu labels become a must-have</t>
  </si>
  <si>
    <t>He quotes per kg in whole rupees, rounding halves up</t>
  </si>
  <si>
    <t>Rounding rule is wrong, prices are off</t>
  </si>
  <si>
    <t>Ask Q2</t>
  </si>
  <si>
    <t>He would paste prices into WhatsApp</t>
  </si>
  <si>
    <t>The copy-message feature is wasted</t>
  </si>
  <si>
    <t>Ask Q9</t>
  </si>
  <si>
    <t>A live bird rate is normally between 200 and 800 PKR/kg</t>
  </si>
  <si>
    <t>Typo warning thresholds are wrong</t>
  </si>
  <si>
    <t>Ask Q7</t>
  </si>
  <si>
    <t>Losing the 30-day history would be a small problem for him</t>
  </si>
  <si>
    <t>Backup becomes a must-have</t>
  </si>
  <si>
    <t>Ask Q10</t>
  </si>
  <si>
    <t>Interview notes</t>
  </si>
  <si>
    <t>Date:</t>
  </si>
  <si>
    <t>Interviewee role:</t>
  </si>
  <si>
    <t>Example row (delete after reading): Q0 | 'I check the market at 6am' | He starts early, so a morning reminder fits | A4</t>
  </si>
  <si>
    <t>#</t>
  </si>
  <si>
    <t>Question</t>
  </si>
  <si>
    <t>His words (as said)</t>
  </si>
  <si>
    <t>My notes / meaning</t>
  </si>
  <si>
    <t>Assumption IDs affected</t>
  </si>
  <si>
    <t>Q1</t>
  </si>
  <si>
    <t>Walk me through this morning, from the live bird rate to the first customer.</t>
  </si>
  <si>
    <t>A4</t>
  </si>
  <si>
    <t>Q2</t>
  </si>
  <si>
    <t>How do you work out each price today?</t>
  </si>
  <si>
    <t>A8</t>
  </si>
  <si>
    <t>Q3</t>
  </si>
  <si>
    <t>Tell me about the last time you quoted a wrong price and what it cost.</t>
  </si>
  <si>
    <t>(new)</t>
  </si>
  <si>
    <t>Q4</t>
  </si>
  <si>
    <t>When did you last change the factors, and why?</t>
  </si>
  <si>
    <t>A1</t>
  </si>
  <si>
    <t>Q5</t>
  </si>
  <si>
    <t>Who else quotes prices at the counter?</t>
  </si>
  <si>
    <t>A5</t>
  </si>
  <si>
    <t>Q6</t>
  </si>
  <si>
    <t>What do you do with past rates?</t>
  </si>
  <si>
    <t>A2</t>
  </si>
  <si>
    <t>Q7</t>
  </si>
  <si>
    <t>What is a realistic range for the live bird rate, and has it ever been entered wrongly?</t>
  </si>
  <si>
    <t>A10</t>
  </si>
  <si>
    <t>Q8</t>
  </si>
  <si>
    <t>What device is at the counter and what language does he read comfortably?</t>
  </si>
  <si>
    <t>A6, A7</t>
  </si>
  <si>
    <t>Q9</t>
  </si>
  <si>
    <t>How do you tell customers the prices?</t>
  </si>
  <si>
    <t>A9</t>
  </si>
  <si>
    <t>Q10</t>
  </si>
  <si>
    <t>If you lost last month's rates, how bad would that be?</t>
  </si>
  <si>
    <t>A11</t>
  </si>
  <si>
    <t>C1</t>
  </si>
  <si>
    <t>Customer: How do you find out today's price?</t>
  </si>
  <si>
    <t>A3</t>
  </si>
  <si>
    <t>C2</t>
  </si>
  <si>
    <t>Customer: Do you trust it, and why?</t>
  </si>
  <si>
    <t>Butcher</t>
  </si>
  <si>
    <t>I open the shop and get it ready like cleaning activties etc. Then I receive stock from the company at my shop. I have to wait an hour or less to receive the price from the authorize committee after receiving the stock for price. Price is sent on one of our WhatsApp group.</t>
  </si>
  <si>
    <t>Yes, we trust it and this is the usual way.</t>
  </si>
  <si>
    <t>I 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</si>
</sst>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"/>
    </font>
    <font>
      <b/>
      <sz val="16"/>
      <name val="Arial"/>
      <charset val="1"/>
    </font>
    <font>
      <sz val="10"/>
      <name val="Arial"/>
      <charset val="1"/>
    </font>
    <font>
      <b/>
      <sz val="12"/>
      <name val="Arial"/>
      <charset val="1"/>
    </font>
    <font>
      <i/>
      <sz val="10"/>
      <name val="Arial"/>
      <charset val="1"/>
    </font>
    <font>
      <b/>
      <sz val="10"/>
      <name val="Arial"/>
      <charset val="1"/>
    </font>
    <font>
      <b/>
      <sz val="10"/>
      <color rgb="FFFFFFFF"/>
      <name val="Arial"/>
      <charset val="1"/>
    </font>
    <font>
      <i/>
      <sz val="10"/>
      <color rgb="FF7F7F7F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9C4"/>
        <bgColor rgb="FFFFEB9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1" fillId="0" borderId="0" xfId="0" applyFont="1"/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horizontal="left"/>
    </xf>
    <xf numFmtId="0" fontId="6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0" fillId="3" borderId="1" xfId="0" applyFill="1" applyBorder="1"/>
    <xf numFmtId="0" fontId="7" fillId="0" borderId="0" xfId="0" applyFont="1"/>
    <xf numFmtId="15" fontId="0" fillId="3" borderId="1" xfId="0" applyNumberFormat="1" applyFill="1" applyBorder="1"/>
  </cellXfs>
  <cellStyles count="1">
    <cellStyle name="Normal" xfId="0" builtinId="0"/>
  </cellStyles>
  <dxfs count="4">
    <dxf>
      <font>
        <color rgb="FF9C0006"/>
        <name val="Arial"/>
        <charset val="1"/>
      </font>
      <fill>
        <patternFill>
          <bgColor rgb="FFFFC7CE"/>
        </patternFill>
      </fill>
    </dxf>
    <dxf>
      <font>
        <color rgb="FF9C0006"/>
        <name val="Arial"/>
        <charset val="1"/>
      </font>
      <fill>
        <patternFill>
          <bgColor rgb="FFFFC7CE"/>
        </patternFill>
      </fill>
    </dxf>
    <dxf>
      <font>
        <color rgb="FF9C5700"/>
        <name val="Arial"/>
        <charset val="1"/>
      </font>
      <fill>
        <patternFill>
          <bgColor rgb="FFFFEB9C"/>
        </patternFill>
      </fill>
    </dxf>
    <dxf>
      <font>
        <color rgb="FF006100"/>
        <name val="Arial"/>
        <charset val="1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9C4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C57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B17"/>
  <sheetViews>
    <sheetView zoomScaleNormal="100" workbookViewId="0"/>
  </sheetViews>
  <sheetFormatPr defaultColWidth="8.6328125" defaultRowHeight="14.5" x14ac:dyDescent="0.35"/>
  <cols>
    <col min="1" max="1" width="3" customWidth="1"/>
    <col min="2" max="2" width="100" customWidth="1"/>
  </cols>
  <sheetData>
    <row r="1" spans="2:2" ht="20" x14ac:dyDescent="0.35">
      <c r="B1" s="1" t="s">
        <v>0</v>
      </c>
    </row>
    <row r="2" spans="2:2" x14ac:dyDescent="0.35">
      <c r="B2" s="2"/>
    </row>
    <row r="3" spans="2:2" ht="15.5" x14ac:dyDescent="0.35">
      <c r="B3" s="3" t="s">
        <v>1</v>
      </c>
    </row>
    <row r="4" spans="2:2" ht="25" x14ac:dyDescent="0.35">
      <c r="B4" s="2" t="s">
        <v>2</v>
      </c>
    </row>
    <row r="5" spans="2:2" x14ac:dyDescent="0.35">
      <c r="B5" s="2"/>
    </row>
    <row r="6" spans="2:2" ht="15.5" x14ac:dyDescent="0.35">
      <c r="B6" s="3" t="s">
        <v>3</v>
      </c>
    </row>
    <row r="7" spans="2:2" ht="25" x14ac:dyDescent="0.35">
      <c r="B7" s="2" t="s">
        <v>4</v>
      </c>
    </row>
    <row r="8" spans="2:2" x14ac:dyDescent="0.35">
      <c r="B8" s="2" t="s">
        <v>5</v>
      </c>
    </row>
    <row r="9" spans="2:2" ht="25" x14ac:dyDescent="0.35">
      <c r="B9" s="2" t="s">
        <v>6</v>
      </c>
    </row>
    <row r="10" spans="2:2" ht="25" x14ac:dyDescent="0.35">
      <c r="B10" s="2" t="s">
        <v>7</v>
      </c>
    </row>
    <row r="11" spans="2:2" x14ac:dyDescent="0.35">
      <c r="B11" s="2"/>
    </row>
    <row r="12" spans="2:2" ht="15.5" x14ac:dyDescent="0.35">
      <c r="B12" s="3" t="s">
        <v>8</v>
      </c>
    </row>
    <row r="13" spans="2:2" x14ac:dyDescent="0.35">
      <c r="B13" s="2" t="s">
        <v>9</v>
      </c>
    </row>
    <row r="14" spans="2:2" x14ac:dyDescent="0.35">
      <c r="B14" s="2" t="s">
        <v>10</v>
      </c>
    </row>
    <row r="15" spans="2:2" ht="25" x14ac:dyDescent="0.35">
      <c r="B15" s="2" t="s">
        <v>11</v>
      </c>
    </row>
    <row r="16" spans="2:2" x14ac:dyDescent="0.35">
      <c r="B16" s="2"/>
    </row>
    <row r="17" spans="2:2" ht="26" x14ac:dyDescent="0.35">
      <c r="B17" s="4" t="s">
        <v>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37"/>
  <sheetViews>
    <sheetView zoomScaleNormal="100"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F15" sqref="F15"/>
    </sheetView>
  </sheetViews>
  <sheetFormatPr defaultColWidth="8.6328125" defaultRowHeight="14.5" x14ac:dyDescent="0.35"/>
  <cols>
    <col min="1" max="1" width="6" customWidth="1"/>
    <col min="2" max="2" width="48" customWidth="1"/>
    <col min="3" max="3" width="44" customWidth="1"/>
    <col min="4" max="4" width="14" customWidth="1"/>
    <col min="5" max="5" width="38" customWidth="1"/>
    <col min="6" max="6" width="26" customWidth="1"/>
    <col min="7" max="7" width="16" customWidth="1"/>
  </cols>
  <sheetData>
    <row r="1" spans="1:7" ht="20" x14ac:dyDescent="0.4">
      <c r="A1" s="5" t="s">
        <v>13</v>
      </c>
    </row>
    <row r="2" spans="1:7" x14ac:dyDescent="0.35">
      <c r="A2" s="6" t="s">
        <v>14</v>
      </c>
    </row>
    <row r="3" spans="1:7" x14ac:dyDescent="0.35">
      <c r="B3" s="7" t="s">
        <v>15</v>
      </c>
      <c r="C3" s="8">
        <f>COUNTIF(D8:D37,"Verified")</f>
        <v>2</v>
      </c>
    </row>
    <row r="4" spans="1:7" x14ac:dyDescent="0.35">
      <c r="B4" s="7" t="s">
        <v>16</v>
      </c>
      <c r="C4" s="8">
        <f>COUNTIF(D8:D37,"Guess")</f>
        <v>9</v>
      </c>
    </row>
    <row r="5" spans="1:7" x14ac:dyDescent="0.35">
      <c r="B5" s="7" t="s">
        <v>17</v>
      </c>
      <c r="C5" s="8">
        <f>COUNTIF(G8:G37,"Add evidence")+COUNTIF(G8:G37,"Pick a status")</f>
        <v>0</v>
      </c>
    </row>
    <row r="7" spans="1:7" x14ac:dyDescent="0.35">
      <c r="A7" s="9" t="s">
        <v>18</v>
      </c>
      <c r="B7" s="9" t="s">
        <v>19</v>
      </c>
      <c r="C7" s="9" t="s">
        <v>20</v>
      </c>
      <c r="D7" s="9" t="s">
        <v>21</v>
      </c>
      <c r="E7" s="9" t="s">
        <v>22</v>
      </c>
      <c r="F7" s="9" t="s">
        <v>23</v>
      </c>
      <c r="G7" s="9" t="s">
        <v>24</v>
      </c>
    </row>
    <row r="8" spans="1:7" x14ac:dyDescent="0.35">
      <c r="A8" s="10" t="str">
        <f t="shared" ref="A8:A37" si="0">IF(B8="","","A"&amp;(ROW()-7))</f>
        <v>A1</v>
      </c>
      <c r="B8" s="10" t="s">
        <v>25</v>
      </c>
      <c r="C8" s="11" t="s">
        <v>26</v>
      </c>
      <c r="D8" s="11" t="s">
        <v>15</v>
      </c>
      <c r="E8" s="10" t="s">
        <v>27</v>
      </c>
      <c r="F8" s="10" t="s">
        <v>28</v>
      </c>
      <c r="G8" s="10" t="str">
        <f t="shared" ref="G8:G37" si="1">IF(B8="","",IF(D8="","Pick a status",IF(AND(D8="Verified",TRIM(C8)=""),"Add evidence","OK")))</f>
        <v>OK</v>
      </c>
    </row>
    <row r="9" spans="1:7" x14ac:dyDescent="0.35">
      <c r="A9" s="10" t="str">
        <f t="shared" si="0"/>
        <v>A2</v>
      </c>
      <c r="B9" s="10" t="s">
        <v>29</v>
      </c>
      <c r="C9" s="11"/>
      <c r="D9" s="11" t="s">
        <v>16</v>
      </c>
      <c r="E9" s="10" t="s">
        <v>30</v>
      </c>
      <c r="F9" s="10" t="s">
        <v>31</v>
      </c>
      <c r="G9" s="10" t="str">
        <f t="shared" si="1"/>
        <v>OK</v>
      </c>
    </row>
    <row r="10" spans="1:7" x14ac:dyDescent="0.35">
      <c r="A10" s="10" t="str">
        <f t="shared" si="0"/>
        <v>A3</v>
      </c>
      <c r="B10" s="10" t="s">
        <v>32</v>
      </c>
      <c r="C10" s="11" t="s">
        <v>33</v>
      </c>
      <c r="D10" s="11" t="s">
        <v>15</v>
      </c>
      <c r="E10" s="10" t="s">
        <v>34</v>
      </c>
      <c r="F10" s="10" t="s">
        <v>35</v>
      </c>
      <c r="G10" s="10" t="str">
        <f t="shared" si="1"/>
        <v>OK</v>
      </c>
    </row>
    <row r="11" spans="1:7" x14ac:dyDescent="0.35">
      <c r="A11" s="10" t="str">
        <f t="shared" si="0"/>
        <v>A4</v>
      </c>
      <c r="B11" s="10" t="s">
        <v>36</v>
      </c>
      <c r="C11" s="11"/>
      <c r="D11" s="11" t="s">
        <v>16</v>
      </c>
      <c r="E11" s="10" t="s">
        <v>37</v>
      </c>
      <c r="F11" s="10" t="s">
        <v>38</v>
      </c>
      <c r="G11" s="10" t="str">
        <f t="shared" si="1"/>
        <v>OK</v>
      </c>
    </row>
    <row r="12" spans="1:7" x14ac:dyDescent="0.35">
      <c r="A12" s="10" t="str">
        <f t="shared" si="0"/>
        <v>A5</v>
      </c>
      <c r="B12" s="10" t="s">
        <v>39</v>
      </c>
      <c r="C12" s="11"/>
      <c r="D12" s="11" t="s">
        <v>16</v>
      </c>
      <c r="E12" s="10" t="s">
        <v>40</v>
      </c>
      <c r="F12" s="10" t="s">
        <v>41</v>
      </c>
      <c r="G12" s="10" t="str">
        <f t="shared" si="1"/>
        <v>OK</v>
      </c>
    </row>
    <row r="13" spans="1:7" ht="25" x14ac:dyDescent="0.35">
      <c r="A13" s="10" t="str">
        <f t="shared" si="0"/>
        <v>A6</v>
      </c>
      <c r="B13" s="10" t="s">
        <v>42</v>
      </c>
      <c r="C13" s="11"/>
      <c r="D13" s="11" t="s">
        <v>16</v>
      </c>
      <c r="E13" s="10" t="s">
        <v>43</v>
      </c>
      <c r="F13" s="10" t="s">
        <v>44</v>
      </c>
      <c r="G13" s="10" t="str">
        <f t="shared" si="1"/>
        <v>OK</v>
      </c>
    </row>
    <row r="14" spans="1:7" x14ac:dyDescent="0.35">
      <c r="A14" s="10" t="str">
        <f t="shared" si="0"/>
        <v>A7</v>
      </c>
      <c r="B14" s="10" t="s">
        <v>45</v>
      </c>
      <c r="C14" s="11"/>
      <c r="D14" s="11" t="s">
        <v>16</v>
      </c>
      <c r="E14" s="10" t="s">
        <v>46</v>
      </c>
      <c r="F14" s="10" t="s">
        <v>44</v>
      </c>
      <c r="G14" s="10" t="str">
        <f t="shared" si="1"/>
        <v>OK</v>
      </c>
    </row>
    <row r="15" spans="1:7" x14ac:dyDescent="0.35">
      <c r="A15" s="10" t="str">
        <f t="shared" si="0"/>
        <v>A8</v>
      </c>
      <c r="B15" s="10" t="s">
        <v>47</v>
      </c>
      <c r="C15" s="11"/>
      <c r="D15" s="11" t="s">
        <v>16</v>
      </c>
      <c r="E15" s="10" t="s">
        <v>48</v>
      </c>
      <c r="F15" s="10" t="s">
        <v>49</v>
      </c>
      <c r="G15" s="10" t="str">
        <f t="shared" si="1"/>
        <v>OK</v>
      </c>
    </row>
    <row r="16" spans="1:7" x14ac:dyDescent="0.35">
      <c r="A16" s="10" t="str">
        <f t="shared" si="0"/>
        <v>A9</v>
      </c>
      <c r="B16" s="10" t="s">
        <v>50</v>
      </c>
      <c r="C16" s="11"/>
      <c r="D16" s="11" t="s">
        <v>16</v>
      </c>
      <c r="E16" s="10" t="s">
        <v>51</v>
      </c>
      <c r="F16" s="10" t="s">
        <v>52</v>
      </c>
      <c r="G16" s="10" t="str">
        <f t="shared" si="1"/>
        <v>OK</v>
      </c>
    </row>
    <row r="17" spans="1:7" x14ac:dyDescent="0.35">
      <c r="A17" s="10" t="str">
        <f t="shared" si="0"/>
        <v>A10</v>
      </c>
      <c r="B17" s="10" t="s">
        <v>53</v>
      </c>
      <c r="C17" s="11"/>
      <c r="D17" s="11" t="s">
        <v>16</v>
      </c>
      <c r="E17" s="10" t="s">
        <v>54</v>
      </c>
      <c r="F17" s="10" t="s">
        <v>55</v>
      </c>
      <c r="G17" s="10" t="str">
        <f t="shared" si="1"/>
        <v>OK</v>
      </c>
    </row>
    <row r="18" spans="1:7" ht="25" x14ac:dyDescent="0.35">
      <c r="A18" s="10" t="str">
        <f t="shared" si="0"/>
        <v>A11</v>
      </c>
      <c r="B18" s="10" t="s">
        <v>56</v>
      </c>
      <c r="C18" s="11"/>
      <c r="D18" s="11" t="s">
        <v>16</v>
      </c>
      <c r="E18" s="10" t="s">
        <v>57</v>
      </c>
      <c r="F18" s="10" t="s">
        <v>58</v>
      </c>
      <c r="G18" s="10" t="str">
        <f t="shared" si="1"/>
        <v>OK</v>
      </c>
    </row>
    <row r="19" spans="1:7" x14ac:dyDescent="0.35">
      <c r="A19" s="10" t="str">
        <f t="shared" si="0"/>
        <v/>
      </c>
      <c r="B19" s="10"/>
      <c r="C19" s="11"/>
      <c r="D19" s="11"/>
      <c r="E19" s="10"/>
      <c r="F19" s="10"/>
      <c r="G19" s="10" t="str">
        <f t="shared" si="1"/>
        <v/>
      </c>
    </row>
    <row r="20" spans="1:7" x14ac:dyDescent="0.35">
      <c r="A20" s="10" t="str">
        <f t="shared" si="0"/>
        <v/>
      </c>
      <c r="B20" s="10"/>
      <c r="C20" s="11"/>
      <c r="D20" s="11"/>
      <c r="E20" s="10"/>
      <c r="F20" s="10"/>
      <c r="G20" s="10" t="str">
        <f t="shared" si="1"/>
        <v/>
      </c>
    </row>
    <row r="21" spans="1:7" x14ac:dyDescent="0.35">
      <c r="A21" s="10" t="str">
        <f t="shared" si="0"/>
        <v/>
      </c>
      <c r="B21" s="10"/>
      <c r="C21" s="11"/>
      <c r="D21" s="11"/>
      <c r="E21" s="10"/>
      <c r="F21" s="10"/>
      <c r="G21" s="10" t="str">
        <f t="shared" si="1"/>
        <v/>
      </c>
    </row>
    <row r="22" spans="1:7" x14ac:dyDescent="0.35">
      <c r="A22" s="10" t="str">
        <f t="shared" si="0"/>
        <v/>
      </c>
      <c r="B22" s="10"/>
      <c r="C22" s="11"/>
      <c r="D22" s="11"/>
      <c r="E22" s="10"/>
      <c r="F22" s="10"/>
      <c r="G22" s="10" t="str">
        <f t="shared" si="1"/>
        <v/>
      </c>
    </row>
    <row r="23" spans="1:7" x14ac:dyDescent="0.35">
      <c r="A23" s="10" t="str">
        <f t="shared" si="0"/>
        <v/>
      </c>
      <c r="B23" s="10"/>
      <c r="C23" s="11"/>
      <c r="D23" s="11"/>
      <c r="E23" s="10"/>
      <c r="F23" s="10"/>
      <c r="G23" s="10" t="str">
        <f t="shared" si="1"/>
        <v/>
      </c>
    </row>
    <row r="24" spans="1:7" x14ac:dyDescent="0.35">
      <c r="A24" s="10" t="str">
        <f t="shared" si="0"/>
        <v/>
      </c>
      <c r="B24" s="10"/>
      <c r="C24" s="11"/>
      <c r="D24" s="11"/>
      <c r="E24" s="10"/>
      <c r="F24" s="10"/>
      <c r="G24" s="10" t="str">
        <f t="shared" si="1"/>
        <v/>
      </c>
    </row>
    <row r="25" spans="1:7" x14ac:dyDescent="0.35">
      <c r="A25" s="10" t="str">
        <f t="shared" si="0"/>
        <v/>
      </c>
      <c r="B25" s="10"/>
      <c r="C25" s="11"/>
      <c r="D25" s="11"/>
      <c r="E25" s="10"/>
      <c r="F25" s="10"/>
      <c r="G25" s="10" t="str">
        <f t="shared" si="1"/>
        <v/>
      </c>
    </row>
    <row r="26" spans="1:7" x14ac:dyDescent="0.35">
      <c r="A26" s="10" t="str">
        <f t="shared" si="0"/>
        <v/>
      </c>
      <c r="B26" s="10"/>
      <c r="C26" s="11"/>
      <c r="D26" s="11"/>
      <c r="E26" s="10"/>
      <c r="F26" s="10"/>
      <c r="G26" s="10" t="str">
        <f t="shared" si="1"/>
        <v/>
      </c>
    </row>
    <row r="27" spans="1:7" x14ac:dyDescent="0.35">
      <c r="A27" s="10" t="str">
        <f t="shared" si="0"/>
        <v/>
      </c>
      <c r="B27" s="10"/>
      <c r="C27" s="11"/>
      <c r="D27" s="11"/>
      <c r="E27" s="10"/>
      <c r="F27" s="10"/>
      <c r="G27" s="10" t="str">
        <f t="shared" si="1"/>
        <v/>
      </c>
    </row>
    <row r="28" spans="1:7" x14ac:dyDescent="0.35">
      <c r="A28" s="10" t="str">
        <f t="shared" si="0"/>
        <v/>
      </c>
      <c r="B28" s="10"/>
      <c r="C28" s="11"/>
      <c r="D28" s="11"/>
      <c r="E28" s="10"/>
      <c r="F28" s="10"/>
      <c r="G28" s="10" t="str">
        <f t="shared" si="1"/>
        <v/>
      </c>
    </row>
    <row r="29" spans="1:7" x14ac:dyDescent="0.35">
      <c r="A29" s="10" t="str">
        <f t="shared" si="0"/>
        <v/>
      </c>
      <c r="B29" s="10"/>
      <c r="C29" s="11"/>
      <c r="D29" s="11"/>
      <c r="E29" s="10"/>
      <c r="F29" s="10"/>
      <c r="G29" s="10" t="str">
        <f t="shared" si="1"/>
        <v/>
      </c>
    </row>
    <row r="30" spans="1:7" x14ac:dyDescent="0.35">
      <c r="A30" s="10" t="str">
        <f t="shared" si="0"/>
        <v/>
      </c>
      <c r="B30" s="10"/>
      <c r="C30" s="11"/>
      <c r="D30" s="11"/>
      <c r="E30" s="10"/>
      <c r="F30" s="10"/>
      <c r="G30" s="10" t="str">
        <f t="shared" si="1"/>
        <v/>
      </c>
    </row>
    <row r="31" spans="1:7" x14ac:dyDescent="0.35">
      <c r="A31" s="10" t="str">
        <f t="shared" si="0"/>
        <v/>
      </c>
      <c r="B31" s="10"/>
      <c r="C31" s="11"/>
      <c r="D31" s="11"/>
      <c r="E31" s="10"/>
      <c r="F31" s="10"/>
      <c r="G31" s="10" t="str">
        <f t="shared" si="1"/>
        <v/>
      </c>
    </row>
    <row r="32" spans="1:7" x14ac:dyDescent="0.35">
      <c r="A32" s="10" t="str">
        <f t="shared" si="0"/>
        <v/>
      </c>
      <c r="B32" s="10"/>
      <c r="C32" s="11"/>
      <c r="D32" s="11"/>
      <c r="E32" s="10"/>
      <c r="F32" s="10"/>
      <c r="G32" s="10" t="str">
        <f t="shared" si="1"/>
        <v/>
      </c>
    </row>
    <row r="33" spans="1:7" x14ac:dyDescent="0.35">
      <c r="A33" s="10" t="str">
        <f t="shared" si="0"/>
        <v/>
      </c>
      <c r="B33" s="10"/>
      <c r="C33" s="11"/>
      <c r="D33" s="11"/>
      <c r="E33" s="10"/>
      <c r="F33" s="10"/>
      <c r="G33" s="10" t="str">
        <f t="shared" si="1"/>
        <v/>
      </c>
    </row>
    <row r="34" spans="1:7" x14ac:dyDescent="0.35">
      <c r="A34" s="10" t="str">
        <f t="shared" si="0"/>
        <v/>
      </c>
      <c r="B34" s="10"/>
      <c r="C34" s="11"/>
      <c r="D34" s="11"/>
      <c r="E34" s="10"/>
      <c r="F34" s="10"/>
      <c r="G34" s="10" t="str">
        <f t="shared" si="1"/>
        <v/>
      </c>
    </row>
    <row r="35" spans="1:7" x14ac:dyDescent="0.35">
      <c r="A35" s="10" t="str">
        <f t="shared" si="0"/>
        <v/>
      </c>
      <c r="B35" s="10"/>
      <c r="C35" s="11"/>
      <c r="D35" s="11"/>
      <c r="E35" s="10"/>
      <c r="F35" s="10"/>
      <c r="G35" s="10" t="str">
        <f t="shared" si="1"/>
        <v/>
      </c>
    </row>
    <row r="36" spans="1:7" x14ac:dyDescent="0.35">
      <c r="A36" s="10" t="str">
        <f t="shared" si="0"/>
        <v/>
      </c>
      <c r="B36" s="10"/>
      <c r="C36" s="11"/>
      <c r="D36" s="11"/>
      <c r="E36" s="10"/>
      <c r="F36" s="10"/>
      <c r="G36" s="10" t="str">
        <f t="shared" si="1"/>
        <v/>
      </c>
    </row>
    <row r="37" spans="1:7" x14ac:dyDescent="0.35">
      <c r="A37" s="10" t="str">
        <f t="shared" si="0"/>
        <v/>
      </c>
      <c r="B37" s="10"/>
      <c r="C37" s="11"/>
      <c r="D37" s="11"/>
      <c r="E37" s="10"/>
      <c r="F37" s="10"/>
      <c r="G37" s="10" t="str">
        <f t="shared" si="1"/>
        <v/>
      </c>
    </row>
  </sheetData>
  <conditionalFormatting sqref="D8:D37">
    <cfRule type="cellIs" dxfId="3" priority="2" operator="equal">
      <formula>"Verified"</formula>
    </cfRule>
    <cfRule type="cellIs" dxfId="2" priority="3" operator="equal">
      <formula>"Guess"</formula>
    </cfRule>
  </conditionalFormatting>
  <conditionalFormatting sqref="G8:G37">
    <cfRule type="cellIs" dxfId="1" priority="4" operator="equal">
      <formula>"Add evidence"</formula>
    </cfRule>
    <cfRule type="cellIs" dxfId="0" priority="5" operator="equal">
      <formula>"Pick a status"</formula>
    </cfRule>
  </conditionalFormatting>
  <dataValidations count="1">
    <dataValidation type="list" allowBlank="1" errorTitle="Status" error="Pick Verified or Guess" sqref="D8:D37" xr:uid="{00000000-0002-0000-0100-000000000000}">
      <formula1>"Verified,Guess"</formula1>
      <formula2>0</formula2>
    </dataValidation>
  </dataValidations>
  <pageMargins left="0.75" right="0.75" top="1" bottom="1" header="0.511811023622047" footer="0.511811023622047"/>
  <pageSetup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E18"/>
  <sheetViews>
    <sheetView tabSelected="1" zoomScaleNormal="100" workbookViewId="0">
      <pane ySplit="6" topLeftCell="A7" activePane="bottomLeft" state="frozen"/>
      <selection pane="bottomLeft" activeCell="C7" sqref="C7"/>
    </sheetView>
  </sheetViews>
  <sheetFormatPr defaultColWidth="8.6328125" defaultRowHeight="14.5" x14ac:dyDescent="0.35"/>
  <cols>
    <col min="1" max="1" width="18" customWidth="1"/>
    <col min="2" max="4" width="48" customWidth="1"/>
    <col min="5" max="5" width="18" customWidth="1"/>
  </cols>
  <sheetData>
    <row r="1" spans="1:5" ht="20" x14ac:dyDescent="0.4">
      <c r="A1" s="5" t="s">
        <v>59</v>
      </c>
    </row>
    <row r="2" spans="1:5" x14ac:dyDescent="0.35">
      <c r="A2" s="7" t="s">
        <v>60</v>
      </c>
      <c r="B2" s="14">
        <v>46310</v>
      </c>
    </row>
    <row r="3" spans="1:5" x14ac:dyDescent="0.35">
      <c r="A3" s="7" t="s">
        <v>61</v>
      </c>
      <c r="B3" s="12" t="s">
        <v>103</v>
      </c>
    </row>
    <row r="4" spans="1:5" x14ac:dyDescent="0.35">
      <c r="A4" s="13" t="s">
        <v>62</v>
      </c>
    </row>
    <row r="6" spans="1:5" ht="26" x14ac:dyDescent="0.35">
      <c r="A6" s="9" t="s">
        <v>63</v>
      </c>
      <c r="B6" s="9" t="s">
        <v>64</v>
      </c>
      <c r="C6" s="9" t="s">
        <v>65</v>
      </c>
      <c r="D6" s="9" t="s">
        <v>66</v>
      </c>
      <c r="E6" s="9" t="s">
        <v>67</v>
      </c>
    </row>
    <row r="7" spans="1:5" ht="62.5" x14ac:dyDescent="0.35">
      <c r="A7" s="10" t="s">
        <v>68</v>
      </c>
      <c r="B7" s="10" t="s">
        <v>69</v>
      </c>
      <c r="C7" s="11" t="s">
        <v>104</v>
      </c>
      <c r="D7" s="11"/>
      <c r="E7" s="10" t="s">
        <v>70</v>
      </c>
    </row>
    <row r="8" spans="1:5" ht="48" customHeight="1" x14ac:dyDescent="0.35">
      <c r="A8" s="10" t="s">
        <v>71</v>
      </c>
      <c r="B8" s="10" t="s">
        <v>72</v>
      </c>
      <c r="C8" s="11" t="s">
        <v>106</v>
      </c>
      <c r="D8" s="11"/>
      <c r="E8" s="10" t="s">
        <v>73</v>
      </c>
    </row>
    <row r="9" spans="1:5" ht="48" customHeight="1" x14ac:dyDescent="0.35">
      <c r="A9" s="10" t="s">
        <v>74</v>
      </c>
      <c r="B9" s="10" t="s">
        <v>75</v>
      </c>
      <c r="C9" s="11"/>
      <c r="D9" s="11"/>
      <c r="E9" s="10" t="s">
        <v>76</v>
      </c>
    </row>
    <row r="10" spans="1:5" ht="48" customHeight="1" x14ac:dyDescent="0.35">
      <c r="A10" s="10" t="s">
        <v>77</v>
      </c>
      <c r="B10" s="10" t="s">
        <v>78</v>
      </c>
      <c r="C10" s="11"/>
      <c r="D10" s="11"/>
      <c r="E10" s="10" t="s">
        <v>79</v>
      </c>
    </row>
    <row r="11" spans="1:5" ht="48" customHeight="1" x14ac:dyDescent="0.35">
      <c r="A11" s="10" t="s">
        <v>80</v>
      </c>
      <c r="B11" s="10" t="s">
        <v>81</v>
      </c>
      <c r="C11" s="11"/>
      <c r="D11" s="11"/>
      <c r="E11" s="10" t="s">
        <v>82</v>
      </c>
    </row>
    <row r="12" spans="1:5" ht="48" customHeight="1" x14ac:dyDescent="0.35">
      <c r="A12" s="10" t="s">
        <v>83</v>
      </c>
      <c r="B12" s="10" t="s">
        <v>84</v>
      </c>
      <c r="C12" s="11"/>
      <c r="D12" s="11"/>
      <c r="E12" s="10" t="s">
        <v>85</v>
      </c>
    </row>
    <row r="13" spans="1:5" ht="48" customHeight="1" x14ac:dyDescent="0.35">
      <c r="A13" s="10" t="s">
        <v>86</v>
      </c>
      <c r="B13" s="10" t="s">
        <v>87</v>
      </c>
      <c r="C13" s="11"/>
      <c r="D13" s="11"/>
      <c r="E13" s="10" t="s">
        <v>88</v>
      </c>
    </row>
    <row r="14" spans="1:5" ht="48" customHeight="1" x14ac:dyDescent="0.35">
      <c r="A14" s="10" t="s">
        <v>89</v>
      </c>
      <c r="B14" s="10" t="s">
        <v>90</v>
      </c>
      <c r="C14" s="11"/>
      <c r="D14" s="11"/>
      <c r="E14" s="10" t="s">
        <v>91</v>
      </c>
    </row>
    <row r="15" spans="1:5" ht="48" customHeight="1" x14ac:dyDescent="0.35">
      <c r="A15" s="10" t="s">
        <v>92</v>
      </c>
      <c r="B15" s="10" t="s">
        <v>93</v>
      </c>
      <c r="C15" s="11"/>
      <c r="D15" s="11"/>
      <c r="E15" s="10" t="s">
        <v>94</v>
      </c>
    </row>
    <row r="16" spans="1:5" ht="48" customHeight="1" x14ac:dyDescent="0.35">
      <c r="A16" s="10" t="s">
        <v>95</v>
      </c>
      <c r="B16" s="10" t="s">
        <v>96</v>
      </c>
      <c r="C16" s="11"/>
      <c r="D16" s="11"/>
      <c r="E16" s="10" t="s">
        <v>97</v>
      </c>
    </row>
    <row r="17" spans="1:5" ht="48" customHeight="1" x14ac:dyDescent="0.35">
      <c r="A17" s="10" t="s">
        <v>98</v>
      </c>
      <c r="B17" s="10" t="s">
        <v>99</v>
      </c>
      <c r="C17" s="11"/>
      <c r="D17" s="11"/>
      <c r="E17" s="10" t="s">
        <v>100</v>
      </c>
    </row>
    <row r="18" spans="1:5" ht="48" customHeight="1" x14ac:dyDescent="0.35">
      <c r="A18" s="10" t="s">
        <v>101</v>
      </c>
      <c r="B18" s="10" t="s">
        <v>102</v>
      </c>
      <c r="C18" s="11" t="s">
        <v>105</v>
      </c>
      <c r="D18" s="11"/>
      <c r="E18" s="10" t="s">
        <v>100</v>
      </c>
    </row>
  </sheetData>
  <pageMargins left="0.75" right="0.75" top="1" bottom="1" header="0.511811023622047" footer="0.511811023622047"/>
  <pageSetup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How to use</vt:lpstr>
      <vt:lpstr>Assumptions</vt:lpstr>
      <vt:lpstr>Interview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Ehtesham Zafar</cp:lastModifiedBy>
  <cp:revision>0</cp:revision>
  <dcterms:created xsi:type="dcterms:W3CDTF">2026-10-15T13:23:07Z</dcterms:created>
  <dcterms:modified xsi:type="dcterms:W3CDTF">2026-10-15T14:13:08Z</dcterms:modified>
  <dc:language>en-US</dc:language>
</cp:coreProperties>
</file>